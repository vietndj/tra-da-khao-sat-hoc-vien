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ữ Liệu Khảo Sát" sheetId="1" state="visible" r:id="rId1"/>
    <sheet xmlns:r="http://schemas.openxmlformats.org/officeDocument/2006/relationships" name="Dashboard Tổng Quan" sheetId="2" state="visible" r:id="rId2"/>
    <sheet xmlns:r="http://schemas.openxmlformats.org/officeDocument/2006/relationships" name="CRM Kết Nối &amp; Tặng Quà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059669"/>
      <sz val="11"/>
    </font>
    <font>
      <name val="Arial"/>
      <b val="1"/>
      <color rgb="00F8FAFC"/>
      <sz val="14"/>
    </font>
    <font>
      <name val="Arial"/>
      <b val="1"/>
      <color rgb="0064748B"/>
      <sz val="9"/>
    </font>
    <font>
      <name val="Arial"/>
      <b val="1"/>
      <color rgb="000284C7"/>
      <sz val="16"/>
    </font>
    <font>
      <name val="Arial"/>
      <b val="1"/>
      <color rgb="00059669"/>
      <sz val="16"/>
    </font>
    <font>
      <name val="Arial"/>
      <b val="1"/>
      <color rgb="00D97706"/>
      <sz val="16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334155"/>
        <bgColor rgb="00334155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20" customWidth="1" min="2" max="2"/>
    <col width="28" customWidth="1" min="3" max="3"/>
    <col width="25" customWidth="1" min="4" max="4"/>
    <col width="18" customWidth="1" min="5" max="5"/>
    <col width="35" customWidth="1" min="6" max="6"/>
    <col width="30" customWidth="1" min="7" max="7"/>
    <col width="28" customWidth="1" min="8" max="8"/>
    <col width="35" customWidth="1" min="9" max="9"/>
    <col width="38" customWidth="1" min="10" max="10"/>
    <col width="45" customWidth="1" min="11" max="11"/>
    <col width="15" customWidth="1" min="12" max="12"/>
    <col width="35" customWidth="1" min="13" max="13"/>
    <col width="18" customWidth="1" min="14" max="14"/>
    <col width="45" customWidth="1" min="15" max="15"/>
  </cols>
  <sheetData>
    <row r="1" ht="32" customHeight="1">
      <c r="A1" s="1" t="inlineStr">
        <is>
          <t>Mã Phản Hồi</t>
        </is>
      </c>
      <c r="B1" s="1" t="inlineStr">
        <is>
          <t>Thời Gian Gửi</t>
        </is>
      </c>
      <c r="C1" s="1" t="inlineStr">
        <is>
          <t>Khóa Học</t>
        </is>
      </c>
      <c r="D1" s="1" t="inlineStr">
        <is>
          <t>Họ Và Tên</t>
        </is>
      </c>
      <c r="E1" s="1" t="inlineStr">
        <is>
          <t>Số Điện Thoại / Zalo</t>
        </is>
      </c>
      <c r="F1" s="1" t="inlineStr">
        <is>
          <t>Nghề Nghiệp / Dự Án</t>
        </is>
      </c>
      <c r="G1" s="1" t="inlineStr">
        <is>
          <t>Link Kênh / Profile</t>
        </is>
      </c>
      <c r="H1" s="1" t="inlineStr">
        <is>
          <t>Nguồn Biết Đến</t>
        </is>
      </c>
      <c r="I1" s="1" t="inlineStr">
        <is>
          <t>Video Ấn Tượng Nhất</t>
        </is>
      </c>
      <c r="J1" s="1" t="inlineStr">
        <is>
          <t>Điều Tâm Đắc Nhất</t>
        </is>
      </c>
      <c r="K1" s="1" t="inlineStr">
        <is>
          <t>Góp Ý Vận Hành &amp; Lớp Học</t>
        </is>
      </c>
      <c r="L1" s="1" t="inlineStr">
        <is>
          <t>Điểm Đánh Giá (1-10)</t>
        </is>
      </c>
      <c r="M1" s="1" t="inlineStr">
        <is>
          <t>Nhu Cầu Khóa Nâng Cao</t>
        </is>
      </c>
      <c r="N1" s="1" t="inlineStr">
        <is>
          <t>Kênh Liên Hệ Ưu Tiên</t>
        </is>
      </c>
      <c r="O1" s="1" t="inlineStr">
        <is>
          <t>Lời Nhắn Nhủ Riêng</t>
        </is>
      </c>
    </row>
    <row r="2" ht="48" customHeight="1">
      <c r="A2" s="2" t="inlineStr">
        <is>
          <t>KS-2026-001</t>
        </is>
      </c>
      <c r="B2" s="2" t="inlineStr">
        <is>
          <t>24/08/2026 23:16:30</t>
        </is>
      </c>
      <c r="C2" s="3" t="inlineStr">
        <is>
          <t>30 Ngày Học Làm Nội Dung Viral / Offline Thực Chiến</t>
        </is>
      </c>
      <c r="D2" s="3" t="inlineStr">
        <is>
          <t>Học viên ngành Phân Bón Nông Nghiệp</t>
        </is>
      </c>
      <c r="E2" s="2" t="inlineStr">
        <is>
          <t>0988***888</t>
        </is>
      </c>
      <c r="F2" s="3" t="inlineStr">
        <is>
          <t>Kinh doanh &amp; Sản xuất Phân bón Nông nghiệp (Có nhiều cảnh đẹp &amp; tư liệu thực tế nhưng chỉ biết giơ máy lên quay, chưa biết dựng)</t>
        </is>
      </c>
      <c r="G2" s="3" t="inlineStr">
        <is>
          <t>https://facebook.com/30ngayviral.fedu.vn</t>
        </is>
      </c>
      <c r="H2" s="3" t="inlineStr">
        <is>
          <t>Lướt Facebook Reels va vào video của anh Việt</t>
        </is>
      </c>
      <c r="I2" s="3" t="inlineStr">
        <is>
          <t>Xem liền 5 video chia sẻ cách bóc kịch bản mộc mạc và định hướng làm nội dung</t>
        </is>
      </c>
      <c r="J2" s="3" t="inlineStr">
        <is>
          <t>Nội dung mộc mạc, thực chiến đánh trúng vấn đề. Không cần 7 tiếng hay 11 điểm chạm để chốt đơn, xem đúng 5 clip là điền form chốt đi học ngay!</t>
        </is>
      </c>
      <c r="K2" s="3" t="inlineStr">
        <is>
          <t>Tư vấn và gọi điện cực kỳ nhanh gọn, đăng ký xong là chốt đơn đi học luôn không cần tư vấn lòng vòng.</t>
        </is>
      </c>
      <c r="L2" s="4" t="n">
        <v>10</v>
      </c>
      <c r="M2" s="3" t="inlineStr">
        <is>
          <t>AI Băm kịch bản, Xây dựng kênh thực chiến ngành nông nghiệp &amp; phân bón</t>
        </is>
      </c>
      <c r="N2" s="2" t="inlineStr">
        <is>
          <t>Zalo</t>
        </is>
      </c>
      <c r="O2" s="3" t="inlineStr">
        <is>
          <t>Em thề là trước đây em không hề biết anh là ai luôn ấy :))) cũng không mất 7 tiếng để chốt đơn đâu, xem đúng 5 clip là chốt, lúc chốt còn chưa kịp theo dõi page thầy haha!</t>
        </is>
      </c>
    </row>
    <row r="3" ht="48" customHeight="1">
      <c r="A3" s="2" t="inlineStr">
        <is>
          <t>KS-2026-002</t>
        </is>
      </c>
      <c r="B3" s="2" t="inlineStr">
        <is>
          <t>24/08/2026 09:30:15</t>
        </is>
      </c>
      <c r="C3" s="3" t="inlineStr">
        <is>
          <t>Offline Thực Chiến K12 - Hà Nội</t>
        </is>
      </c>
      <c r="D3" s="3" t="inlineStr">
        <is>
          <t>Nguyễn Thu Trang</t>
        </is>
      </c>
      <c r="E3" s="2" t="inlineStr">
        <is>
          <t>0912345678</t>
        </is>
      </c>
      <c r="F3" s="3" t="inlineStr">
        <is>
          <t>Quản lý pháp chế MEDLATEC (Chuẩn bị mở cty luật)</t>
        </is>
      </c>
      <c r="G3" s="3" t="inlineStr">
        <is>
          <t>https://facebook.com/thutrang.law</t>
        </is>
      </c>
      <c r="H3" s="3" t="inlineStr">
        <is>
          <t>Video TikTok / Reel (Quyết định sau 20s xem video)</t>
        </is>
      </c>
      <c r="I3" s="3" t="inlineStr">
        <is>
          <t>Video anh Việt nói về băm nhỏ phân cảnh và tư duy làm video AI đa ngành</t>
        </is>
      </c>
      <c r="J3" s="3" t="inlineStr">
        <is>
          <t>Tư duy rất mới về ứng dụng AI, kỹ năng quay dựng và cách làm marketing đa ngành, định hướng rõ ràng</t>
        </is>
      </c>
      <c r="K3" s="3" t="inlineStr">
        <is>
          <t>- Cần kiểm soát danh sách check-in chặt chẽ hơn
- Gửi link khảo sát ngắn trước buổi học
- Thăm hỏi học viên vắng/về sớm
- Giới thiệu gói nâng cao 10p cuối kèm ưu đãi tại lớp
- Tư vấn rõ ưu đãi giảm 10% khi đăng ký nhóm 2 người</t>
        </is>
      </c>
      <c r="L3" s="4" t="n">
        <v>10</v>
      </c>
      <c r="M3" s="3" t="inlineStr">
        <is>
          <t>AI Chuyên Sâu, Xây dựng thương hiệu cá nhân Luật Sư</t>
        </is>
      </c>
      <c r="N3" s="2" t="inlineStr">
        <is>
          <t>Zalo</t>
        </is>
      </c>
      <c r="O3" s="3" t="inlineStr">
        <is>
          <t>Giá trị Thầy mang lại là điều vô giá đối với Em ạ! Chúc Thầy luôn giữ ngọn lửa nhiệt huyết.</t>
        </is>
      </c>
    </row>
    <row r="4" ht="48" customHeight="1">
      <c r="A4" s="2" t="inlineStr">
        <is>
          <t>KS-2026-003</t>
        </is>
      </c>
      <c r="B4" s="2" t="inlineStr">
        <is>
          <t>24/08/2026 10:15:40</t>
        </is>
      </c>
      <c r="C4" s="3" t="inlineStr">
        <is>
          <t>Offline Thực Chiến K12 - Hà Nội</t>
        </is>
      </c>
      <c r="D4" s="3" t="inlineStr">
        <is>
          <t>Trần Quốc Huy</t>
        </is>
      </c>
      <c r="E4" s="2" t="inlineStr">
        <is>
          <t>0987654321</t>
        </is>
      </c>
      <c r="F4" s="3" t="inlineStr">
        <is>
          <t>Chủ thương hiệu thời trang nam tại Hải Phòng</t>
        </is>
      </c>
      <c r="G4" s="3" t="inlineStr">
        <is>
          <t>https://tiktok.com/@huytran.menswear</t>
        </is>
      </c>
      <c r="H4" s="3" t="inlineStr">
        <is>
          <t>YouTube Shorts / Facebook Reels</t>
        </is>
      </c>
      <c r="I4" s="3" t="inlineStr">
        <is>
          <t>Video phân tích kịch bản video bán hàng thời trang 3 tầng</t>
        </is>
      </c>
      <c r="J4" s="3" t="inlineStr">
        <is>
          <t>Biết cách setup 2 máy quay và ánh sáng chuyên nghiệp, không còn sợ đứng trước ống kính</t>
        </is>
      </c>
      <c r="K4" s="3" t="inlineStr">
        <is>
          <t>Khóa học rất thực chiến, mong có thêm buổi thực hành ngoài trời</t>
        </is>
      </c>
      <c r="L4" s="4" t="n">
        <v>9</v>
      </c>
      <c r="M4" s="3" t="inlineStr">
        <is>
          <t>Video Ads Chuyển Đổi Cao, Automation Video</t>
        </is>
      </c>
      <c r="N4" s="2" t="inlineStr">
        <is>
          <t>Zalo</t>
        </is>
      </c>
      <c r="O4" s="3" t="inlineStr">
        <is>
          <t>Cảm ơn anh Việt rất nhiều, nhờ anh mà em tự tin bấm máy quay ngay ngày hôm sau!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36" customHeight="1">
      <c r="A1" s="5" t="inlineStr">
        <is>
          <t>📊 BÁO CÁO TỔNG HỢP KHẢO SÁT &amp; INSIGHT HỌC VIÊN - VIETMAC</t>
        </is>
      </c>
    </row>
    <row r="3" ht="20" customHeight="1">
      <c r="A3" s="6" t="inlineStr">
        <is>
          <t>Tổng Số Phản Hồi</t>
        </is>
      </c>
      <c r="B3" s="7" t="n"/>
      <c r="C3" s="6" t="inlineStr">
        <is>
          <t>Điểm Hài Lòng Trung Bình (NPS)</t>
        </is>
      </c>
      <c r="D3" s="7" t="n"/>
      <c r="E3" s="6" t="inlineStr">
        <is>
          <t>Tỷ Lệ Quan Tâm Nâng Cao</t>
        </is>
      </c>
      <c r="F3" s="7" t="n"/>
    </row>
    <row r="4" ht="28" customHeight="1">
      <c r="A4" s="8">
        <f>COUNTA('Dữ Liệu Khảo Sát'!A2:A1000)</f>
        <v/>
      </c>
      <c r="B4" s="7" t="n"/>
      <c r="C4" s="9">
        <f>AVERAGE('Dữ Liệu Khảo Sát'!L2:L1000)</f>
        <v/>
      </c>
      <c r="D4" s="7" t="n"/>
      <c r="E4" s="10">
        <f>COUNTIF('Dữ Liệu Khảo Sát'!M2:M1000, "*AI*")/COUNTA('Dữ Liệu Khảo Sát'!A2:A1000)</f>
        <v/>
      </c>
      <c r="F4" s="7" t="n"/>
    </row>
  </sheetData>
  <mergeCells count="7">
    <mergeCell ref="A4:B4"/>
    <mergeCell ref="E4:F4"/>
    <mergeCell ref="A1:F1"/>
    <mergeCell ref="C3:D3"/>
    <mergeCell ref="A3:B3"/>
    <mergeCell ref="E3:F3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 outlineLevelCol="0"/>
  <cols>
    <col width="8" customWidth="1" min="1" max="1"/>
    <col width="28" customWidth="1" min="2" max="2"/>
    <col width="35" customWidth="1" min="3" max="3"/>
    <col width="32" customWidth="1" min="4" max="4"/>
    <col width="18" customWidth="1" min="5" max="5"/>
    <col width="45" customWidth="1" min="6" max="6"/>
    <col width="25" customWidth="1" min="7" max="7"/>
  </cols>
  <sheetData>
    <row r="1" ht="28" customHeight="1">
      <c r="A1" s="11" t="inlineStr">
        <is>
          <t>STT</t>
        </is>
      </c>
      <c r="B1" s="11" t="inlineStr">
        <is>
          <t>Họ Tên Học Viên</t>
        </is>
      </c>
      <c r="C1" s="11" t="inlineStr">
        <is>
          <t>Nghề Nghiệp / Dự Án</t>
        </is>
      </c>
      <c r="D1" s="11" t="inlineStr">
        <is>
          <t>Link Kênh / Profile</t>
        </is>
      </c>
      <c r="E1" s="11" t="inlineStr">
        <is>
          <t>Zalo / SĐT</t>
        </is>
      </c>
      <c r="F1" s="11" t="inlineStr">
        <is>
          <t>Nhu Cầu Độc Quyền</t>
        </is>
      </c>
      <c r="G1" s="11" t="inlineStr">
        <is>
          <t>Đã Kết Nối / Tặng Quà</t>
        </is>
      </c>
    </row>
    <row r="2" ht="36" customHeight="1">
      <c r="A2" s="12" t="n">
        <v>1</v>
      </c>
      <c r="B2" s="3" t="inlineStr">
        <is>
          <t>Học viên ngành Phân Bón Nông Nghiệp</t>
        </is>
      </c>
      <c r="C2" s="3" t="inlineStr">
        <is>
          <t>Kinh doanh &amp; Sản xuất Phân bón Nông nghiệp</t>
        </is>
      </c>
      <c r="D2" s="3" t="inlineStr">
        <is>
          <t>https://facebook.com/30ngayviral.fedu.vn</t>
        </is>
      </c>
      <c r="E2" s="12" t="inlineStr">
        <is>
          <t>0988***888</t>
        </is>
      </c>
      <c r="F2" s="3" t="inlineStr">
        <is>
          <t>Gói prompt AI băm cảnh nông nghiệp + tư duy hook 3s</t>
        </is>
      </c>
      <c r="G2" s="12" t="inlineStr">
        <is>
          <t>Đã kết nối Zalo &amp; tư vấn</t>
        </is>
      </c>
    </row>
    <row r="3" ht="36" customHeight="1">
      <c r="A3" s="12" t="n">
        <v>2</v>
      </c>
      <c r="B3" s="3" t="inlineStr">
        <is>
          <t>Nguyễn Thu Trang</t>
        </is>
      </c>
      <c r="C3" s="3" t="inlineStr">
        <is>
          <t>Quản lý pháp chế MEDLATEC (Mở cty luật)</t>
        </is>
      </c>
      <c r="D3" s="3" t="inlineStr">
        <is>
          <t>https://facebook.com/thutrang.law</t>
        </is>
      </c>
      <c r="E3" s="12" t="inlineStr">
        <is>
          <t>0912345678</t>
        </is>
      </c>
      <c r="F3" s="3" t="inlineStr">
        <is>
          <t>Gói prompt AI kịch bản luật sư + template branding</t>
        </is>
      </c>
      <c r="G3" s="12" t="inlineStr">
        <is>
          <t>Đã add Zalo &amp; gửi quà</t>
        </is>
      </c>
    </row>
    <row r="4" ht="36" customHeight="1">
      <c r="A4" s="12" t="n">
        <v>3</v>
      </c>
      <c r="B4" s="3" t="inlineStr">
        <is>
          <t>Trần Quốc Huy</t>
        </is>
      </c>
      <c r="C4" s="3" t="inlineStr">
        <is>
          <t>Chủ thương hiệu thời trang nam tại Hải Phòng</t>
        </is>
      </c>
      <c r="D4" s="3" t="inlineStr">
        <is>
          <t>https://tiktok.com/@huytran.menswear</t>
        </is>
      </c>
      <c r="E4" s="12" t="inlineStr">
        <is>
          <t>0987654321</t>
        </is>
      </c>
      <c r="F4" s="3" t="inlineStr">
        <is>
          <t>Checklist setup 2 máy quay + sound effect bán hàng</t>
        </is>
      </c>
      <c r="G4" s="12" t="inlineStr">
        <is>
          <t>Đã follow kênh TikTok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2026-08-24T16:20:20Z</dcterms:created>
  <dcterms:modified xmlns:dcterms="http://purl.org/dc/terms/" xmlns:xsi="http://www.w3.org/2001/XMLSchema-instance" xsi:type="dcterms:W3CDTF">2026-08-24T16:20:20Z</dcterms:modified>
</cp:coreProperties>
</file>